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ur" sheetId="1" state="visible" r:id="rId1"/>
    <sheet xmlns:r="http://schemas.openxmlformats.org/officeDocument/2006/relationships" name="Gr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 €"/>
    <numFmt numFmtId="165" formatCode="#,##0 €"/>
    <numFmt numFmtId="166" formatCode="#,##0.00 €"/>
    <numFmt numFmtId="167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b val="1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  <font>
      <i val="1"/>
      <color rgb="00595959"/>
    </font>
    <font>
      <i val="1"/>
    </font>
    <font>
      <name val="Calibri"/>
      <b val="1"/>
      <color rgb="00C00000"/>
      <sz val="11"/>
    </font>
    <font>
      <name val="Calibri"/>
      <b val="1"/>
      <color rgb="001F4E78"/>
      <sz val="11"/>
    </font>
    <font>
      <name val="Calibri"/>
      <b val="1"/>
      <sz val="12"/>
    </font>
    <font>
      <name val="Calibri"/>
      <b val="1"/>
      <color rgb="00375623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medium">
        <color rgb="001F4E78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4" fillId="0" borderId="2" pivotButton="0" quotePrefix="0" xfId="0"/>
    <xf numFmtId="0" fontId="5" fillId="0" borderId="0" pivotButton="0" quotePrefix="0" xfId="0"/>
    <xf numFmtId="3" fontId="6" fillId="0" borderId="0" applyAlignment="1" pivotButton="0" quotePrefix="0" xfId="0">
      <alignment horizontal="right"/>
    </xf>
    <xf numFmtId="0" fontId="7" fillId="0" borderId="0" pivotButton="0" quotePrefix="0" xfId="0"/>
    <xf numFmtId="164" fontId="6" fillId="3" borderId="0" applyAlignment="1" pivotButton="0" quotePrefix="0" xfId="0">
      <alignment horizontal="right"/>
    </xf>
    <xf numFmtId="166" fontId="6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166" fontId="5" fillId="0" borderId="0" pivotButton="0" quotePrefix="0" xfId="0"/>
    <xf numFmtId="0" fontId="6" fillId="0" borderId="0" pivotButton="0" quotePrefix="0" xfId="0"/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166" fontId="9" fillId="4" borderId="0" pivotButton="0" quotePrefix="0" xfId="0"/>
    <xf numFmtId="166" fontId="10" fillId="3" borderId="0" pivotButton="0" quotePrefix="0" xfId="0"/>
    <xf numFmtId="0" fontId="11" fillId="0" borderId="0" pivotButton="0" quotePrefix="0" xfId="0"/>
    <xf numFmtId="166" fontId="12" fillId="5" borderId="3" pivotButton="0" quotePrefix="0" xfId="0"/>
    <xf numFmtId="167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</cols>
  <sheetData>
    <row r="1" ht="35" customHeight="1">
      <c r="A1" s="1" t="inlineStr">
        <is>
          <t>Calculateur Mousse Polyuréthane (Factures &amp; Marge)</t>
        </is>
      </c>
    </row>
    <row r="2"/>
    <row r="3">
      <c r="A3" s="2" t="inlineStr">
        <is>
          <t>1. DONNÉES DU PROJET (SAISIE)</t>
        </is>
      </c>
    </row>
    <row r="4" ht="22" customHeight="1">
      <c r="A4" s="3" t="inlineStr">
        <is>
          <t>Surface Totale (Métrage)</t>
        </is>
      </c>
      <c r="B4" s="4" t="n">
        <v>120</v>
      </c>
      <c r="C4" s="5" t="inlineStr">
        <is>
          <t>m²</t>
        </is>
      </c>
    </row>
    <row r="5" ht="22" customHeight="1">
      <c r="A5" s="3" t="inlineStr">
        <is>
          <t>Prix Client au m²</t>
        </is>
      </c>
      <c r="B5" s="6" t="n">
        <v>83.33</v>
      </c>
      <c r="C5" s="5" t="inlineStr">
        <is>
          <t>€/m²</t>
        </is>
      </c>
    </row>
    <row r="6" ht="22" customHeight="1">
      <c r="A6" s="3" t="inlineStr">
        <is>
          <t>Votre Prix de Vente (Client) Total</t>
        </is>
      </c>
      <c r="B6" s="7">
        <f>B4*B5</f>
        <v/>
      </c>
      <c r="C6" s="5" t="inlineStr">
        <is>
          <t>€</t>
        </is>
      </c>
    </row>
    <row r="7" ht="22" customHeight="1">
      <c r="A7" s="3" t="inlineStr">
        <is>
          <t>Épaisseur de mousse</t>
        </is>
      </c>
      <c r="B7" s="8" t="inlineStr">
        <is>
          <t>10 cm</t>
        </is>
      </c>
      <c r="C7" s="5" t="inlineStr">
        <is>
          <t>cm</t>
        </is>
      </c>
    </row>
    <row r="8" ht="22" customHeight="1">
      <c r="A8" s="3" t="inlineStr">
        <is>
          <t>Distance de Déplacement</t>
        </is>
      </c>
      <c r="B8" s="9" t="inlineStr">
        <is>
          <t>Rayon ≤ 30 Km</t>
        </is>
      </c>
      <c r="C8" s="5" t="inlineStr">
        <is>
          <t>Choix</t>
        </is>
      </c>
    </row>
    <row r="9" ht="22" customHeight="1">
      <c r="A9" s="3" t="inlineStr">
        <is>
          <t>Conditions Partenaire</t>
        </is>
      </c>
      <c r="B9" s="9" t="inlineStr">
        <is>
          <t>Non</t>
        </is>
      </c>
      <c r="C9" s="5" t="inlineStr">
        <is>
          <t>Oui / Non</t>
        </is>
      </c>
    </row>
    <row r="10" ht="22" customHeight="1">
      <c r="A10" s="3" t="inlineStr">
        <is>
          <t>Délai de Paiement</t>
        </is>
      </c>
      <c r="B10" s="9" t="inlineStr">
        <is>
          <t>30 jours (Standard)</t>
        </is>
      </c>
      <c r="C10" s="5" t="inlineStr">
        <is>
          <t>Choix</t>
        </is>
      </c>
    </row>
    <row r="11" ht="22" customHeight="1">
      <c r="A11" s="3" t="inlineStr">
        <is>
          <t>Majoration Sous-traitant</t>
        </is>
      </c>
      <c r="B11" s="10" t="n">
        <v>0.1</v>
      </c>
      <c r="C11" s="5" t="inlineStr">
        <is>
          <t>%</t>
        </is>
      </c>
    </row>
    <row r="12"/>
    <row r="13"/>
    <row r="14">
      <c r="A14" s="2" t="inlineStr">
        <is>
          <t>2. DÉTAILS DU COÛT SOUS-TRAITANT</t>
        </is>
      </c>
    </row>
    <row r="15">
      <c r="A15" s="3" t="inlineStr">
        <is>
          <t>Catégorie de Surface (Calculée)</t>
        </is>
      </c>
      <c r="B15" s="11">
        <f>IF(B4&lt;50, "&lt;50M2 (FORFAIT)", IF(B4&lt;100, "50-100M2 (+5%)", IF(B4&lt;150, "100-150M2 (0%)", IF(B4&lt;250, "150-250M2 (-2%)", IF(B4&lt;=400, "250-400M2 (-5%)", "&gt;400M2 (-8%)")))))</f>
        <v/>
      </c>
    </row>
    <row r="16">
      <c r="A16" s="3" t="inlineStr">
        <is>
          <t>Tarif de Base NESTAAN</t>
        </is>
      </c>
      <c r="B16" s="12">
        <f>INDEX(Grille!$B$3:$G$21, MATCH(B7, Grille!$A$3:$A$21, 0), MATCH(B15, Grille!$B$2:$G$2, 0))</f>
        <v/>
      </c>
    </row>
    <row r="17" ht="22" customHeight="1">
      <c r="A17" s="13" t="inlineStr">
        <is>
          <t>Base avec Majoration (+10%)</t>
        </is>
      </c>
      <c r="B17" s="14">
        <f>B16*(1+B11)</f>
        <v/>
      </c>
    </row>
    <row r="18" ht="22" customHeight="1">
      <c r="A18" s="13" t="inlineStr">
        <is>
          <t>Ajustement Rayon / Distance</t>
        </is>
      </c>
      <c r="B18" s="15">
        <f>IF(B8="Rayon de 30 à 60 Km", 1.01, IF(B8="Rayon &gt; 60 Km", 1.02, 1.00))</f>
        <v/>
      </c>
    </row>
    <row r="19" ht="22" customHeight="1">
      <c r="A19" s="13" t="inlineStr">
        <is>
          <t>Ajustement Partenaire (-10%)</t>
        </is>
      </c>
      <c r="B19" s="15">
        <f>IF(B9="Oui", 0.90, 1.00)</f>
        <v/>
      </c>
    </row>
    <row r="20" ht="22" customHeight="1">
      <c r="A20" s="13" t="inlineStr">
        <is>
          <t>Ajustement Escompte (-2%)</t>
        </is>
      </c>
      <c r="B20" s="15">
        <f>IF(B10="8 jours (-2%)", 0.98, 1.00)</f>
        <v/>
      </c>
    </row>
    <row r="21" ht="22" customHeight="1">
      <c r="A21" s="3" t="inlineStr">
        <is>
          <t>Tarif Unitaire Final Sous-traitant</t>
        </is>
      </c>
      <c r="B21" s="14">
        <f>B17*B18*B19*B20</f>
        <v/>
      </c>
    </row>
    <row r="22"/>
    <row r="23">
      <c r="A23" s="2" t="inlineStr">
        <is>
          <t>3. RÉSULTATS &amp; DIFFÉRENCE (MARGE)</t>
        </is>
      </c>
    </row>
    <row r="24" ht="24" customHeight="1">
      <c r="A24" s="3" t="inlineStr">
        <is>
          <t>Coût Sous-traitant (A)</t>
        </is>
      </c>
      <c r="B24" s="16">
        <f>IF(B4&lt;50, B21, B21*B4)</f>
        <v/>
      </c>
    </row>
    <row r="25" ht="24" customHeight="1">
      <c r="A25" s="3" t="inlineStr">
        <is>
          <t>Votre Facturation Client (B)</t>
        </is>
      </c>
      <c r="B25" s="17">
        <f>B6</f>
        <v/>
      </c>
    </row>
    <row r="26" ht="26" customHeight="1">
      <c r="A26" s="18" t="inlineStr">
        <is>
          <t>DIFFÉRENCE (Bénéfice B - A)</t>
        </is>
      </c>
      <c r="B26" s="19">
        <f>B25-B24</f>
        <v/>
      </c>
    </row>
    <row r="27" ht="22" customHeight="1">
      <c r="A27" s="3" t="inlineStr">
        <is>
          <t>Marge Bénéficiaire (%)</t>
        </is>
      </c>
      <c r="B27" s="20">
        <f>IF(B25&gt;0, B26/B25, 0)</f>
        <v/>
      </c>
    </row>
  </sheetData>
  <dataValidations count="4">
    <dataValidation sqref="B7" showDropDown="0" showInputMessage="0" showErrorMessage="0" allowBlank="1" type="list">
      <formula1>Grille!$A$3:$A$21</formula1>
    </dataValidation>
    <dataValidation sqref="B8" showDropDown="0" showInputMessage="0" showErrorMessage="0" allowBlank="1" type="list">
      <formula1>"Rayon ≤ 30 Km,Rayon de 30 à 60 Km,Rayon &gt; 60 Km"</formula1>
    </dataValidation>
    <dataValidation sqref="B9" showDropDown="0" showInputMessage="0" showErrorMessage="0" allowBlank="1" type="list">
      <formula1>"Oui,Non"</formula1>
    </dataValidation>
    <dataValidation sqref="B10" showDropDown="0" showInputMessage="0" showErrorMessage="0" allowBlank="1" type="list">
      <formula1>"30 jours (Standard),8 jours (-2%)"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9" customWidth="1" min="3" max="3"/>
    <col width="19" customWidth="1" min="4" max="4"/>
    <col width="18" customWidth="1" min="5" max="5"/>
    <col width="18" customWidth="1" min="6" max="6"/>
    <col width="19" customWidth="1" min="7" max="7"/>
  </cols>
  <sheetData>
    <row r="1" ht="30" customHeight="1">
      <c r="A1" s="1" t="inlineStr">
        <is>
          <t>Grille de Tarifs NESTAAN S-09 (Hors TVA)</t>
        </is>
      </c>
    </row>
    <row r="2" ht="25" customHeight="1">
      <c r="A2" s="21" t="inlineStr">
        <is>
          <t>Épaisseur</t>
        </is>
      </c>
      <c r="B2" s="21" t="inlineStr">
        <is>
          <t>&gt;400M2 (-8%)</t>
        </is>
      </c>
      <c r="C2" s="21" t="inlineStr">
        <is>
          <t>250-400M2 (-5%)</t>
        </is>
      </c>
      <c r="D2" s="21" t="inlineStr">
        <is>
          <t>150-250M2 (-2%)</t>
        </is>
      </c>
      <c r="E2" s="21" t="inlineStr">
        <is>
          <t>100-150M2 (0%)</t>
        </is>
      </c>
      <c r="F2" s="21" t="inlineStr">
        <is>
          <t>50-100M2 (+5%)</t>
        </is>
      </c>
      <c r="G2" s="21" t="inlineStr">
        <is>
          <t>&lt;50M2 (FORFAIT)</t>
        </is>
      </c>
    </row>
    <row r="3" ht="20" customHeight="1">
      <c r="A3" s="22" t="inlineStr">
        <is>
          <t>5 cm</t>
        </is>
      </c>
      <c r="B3" s="23" t="n">
        <v>12.23</v>
      </c>
      <c r="C3" s="23" t="n">
        <v>12.63</v>
      </c>
      <c r="D3" s="23" t="n">
        <v>13.03</v>
      </c>
      <c r="E3" s="23" t="n">
        <v>13.3</v>
      </c>
      <c r="F3" s="23" t="n">
        <v>13.96</v>
      </c>
      <c r="G3" s="24" t="n">
        <v>1200</v>
      </c>
    </row>
    <row r="4" ht="20" customHeight="1">
      <c r="A4" s="22" t="inlineStr">
        <is>
          <t>6 cm</t>
        </is>
      </c>
      <c r="B4" s="23" t="n">
        <v>13.39</v>
      </c>
      <c r="C4" s="23" t="n">
        <v>13.83</v>
      </c>
      <c r="D4" s="23" t="n">
        <v>14.26</v>
      </c>
      <c r="E4" s="23" t="n">
        <v>14.56</v>
      </c>
      <c r="F4" s="23" t="n">
        <v>15.28</v>
      </c>
      <c r="G4" s="24" t="n">
        <v>1200</v>
      </c>
    </row>
    <row r="5" ht="20" customHeight="1">
      <c r="A5" s="22" t="inlineStr">
        <is>
          <t>7 cm</t>
        </is>
      </c>
      <c r="B5" s="23" t="n">
        <v>14.55</v>
      </c>
      <c r="C5" s="23" t="n">
        <v>15.02</v>
      </c>
      <c r="D5" s="23" t="n">
        <v>15.5</v>
      </c>
      <c r="E5" s="23" t="n">
        <v>15.82</v>
      </c>
      <c r="F5" s="23" t="n">
        <v>16.61</v>
      </c>
      <c r="G5" s="24" t="n">
        <v>1200</v>
      </c>
    </row>
    <row r="6" ht="20" customHeight="1">
      <c r="A6" s="22" t="inlineStr">
        <is>
          <t>8 cm</t>
        </is>
      </c>
      <c r="B6" s="23" t="n">
        <v>15.71</v>
      </c>
      <c r="C6" s="23" t="n">
        <v>16.22</v>
      </c>
      <c r="D6" s="23" t="n">
        <v>16.73</v>
      </c>
      <c r="E6" s="23" t="n">
        <v>17.08</v>
      </c>
      <c r="F6" s="23" t="n">
        <v>17.93</v>
      </c>
      <c r="G6" s="24" t="n">
        <v>1200</v>
      </c>
    </row>
    <row r="7" ht="20" customHeight="1">
      <c r="A7" s="22" t="inlineStr">
        <is>
          <t>9 cm</t>
        </is>
      </c>
      <c r="B7" s="23" t="n">
        <v>16.87</v>
      </c>
      <c r="C7" s="23" t="n">
        <v>17.42</v>
      </c>
      <c r="D7" s="23" t="n">
        <v>17.97</v>
      </c>
      <c r="E7" s="23" t="n">
        <v>18.34</v>
      </c>
      <c r="F7" s="23" t="n">
        <v>19.25</v>
      </c>
      <c r="G7" s="24" t="n">
        <v>1200</v>
      </c>
    </row>
    <row r="8" ht="20" customHeight="1">
      <c r="A8" s="22" t="inlineStr">
        <is>
          <t>10 cm</t>
        </is>
      </c>
      <c r="B8" s="23" t="n">
        <v>18.03</v>
      </c>
      <c r="C8" s="23" t="n">
        <v>18.62</v>
      </c>
      <c r="D8" s="23" t="n">
        <v>19.2</v>
      </c>
      <c r="E8" s="23" t="n">
        <v>19.6</v>
      </c>
      <c r="F8" s="23" t="n">
        <v>20.58</v>
      </c>
      <c r="G8" s="24" t="n">
        <v>1200</v>
      </c>
    </row>
    <row r="9" ht="20" customHeight="1">
      <c r="A9" s="22" t="inlineStr">
        <is>
          <t>11 cm</t>
        </is>
      </c>
      <c r="B9" s="23" t="n">
        <v>19.19</v>
      </c>
      <c r="C9" s="23" t="n">
        <v>19.81</v>
      </c>
      <c r="D9" s="23" t="n">
        <v>20.44</v>
      </c>
      <c r="E9" s="23" t="n">
        <v>20.86</v>
      </c>
      <c r="F9" s="23" t="n">
        <v>21.9</v>
      </c>
      <c r="G9" s="24" t="n">
        <v>1400</v>
      </c>
    </row>
    <row r="10" ht="20" customHeight="1">
      <c r="A10" s="22" t="inlineStr">
        <is>
          <t>12 cm</t>
        </is>
      </c>
      <c r="B10" s="23" t="n">
        <v>20.35</v>
      </c>
      <c r="C10" s="23" t="n">
        <v>21.01</v>
      </c>
      <c r="D10" s="23" t="n">
        <v>21.67</v>
      </c>
      <c r="E10" s="23" t="n">
        <v>22.12</v>
      </c>
      <c r="F10" s="23" t="n">
        <v>23.22</v>
      </c>
      <c r="G10" s="24" t="n">
        <v>1400</v>
      </c>
    </row>
    <row r="11" ht="20" customHeight="1">
      <c r="A11" s="22" t="inlineStr">
        <is>
          <t>13 cm</t>
        </is>
      </c>
      <c r="B11" s="23" t="n">
        <v>21.5</v>
      </c>
      <c r="C11" s="23" t="n">
        <v>22.21</v>
      </c>
      <c r="D11" s="23" t="n">
        <v>22.91</v>
      </c>
      <c r="E11" s="23" t="n">
        <v>23.38</v>
      </c>
      <c r="F11" s="23" t="n">
        <v>24.54</v>
      </c>
      <c r="G11" s="24" t="n">
        <v>1400</v>
      </c>
    </row>
    <row r="12" ht="20" customHeight="1">
      <c r="A12" s="22" t="inlineStr">
        <is>
          <t>14 cm</t>
        </is>
      </c>
      <c r="B12" s="23" t="n">
        <v>22.66</v>
      </c>
      <c r="C12" s="23" t="n">
        <v>23.4</v>
      </c>
      <c r="D12" s="23" t="n">
        <v>24.14</v>
      </c>
      <c r="E12" s="23" t="n">
        <v>24.64</v>
      </c>
      <c r="F12" s="23" t="n">
        <v>25.87</v>
      </c>
      <c r="G12" s="24" t="n">
        <v>1400</v>
      </c>
    </row>
    <row r="13" ht="20" customHeight="1">
      <c r="A13" s="22" t="inlineStr">
        <is>
          <t>15 cm</t>
        </is>
      </c>
      <c r="B13" s="23" t="n">
        <v>23.82</v>
      </c>
      <c r="C13" s="23" t="n">
        <v>24.6</v>
      </c>
      <c r="D13" s="23" t="n">
        <v>25.38</v>
      </c>
      <c r="E13" s="23" t="n">
        <v>25.9</v>
      </c>
      <c r="F13" s="23" t="n">
        <v>27.19</v>
      </c>
      <c r="G13" s="24" t="n">
        <v>1400</v>
      </c>
    </row>
    <row r="14" ht="20" customHeight="1">
      <c r="A14" s="22" t="inlineStr">
        <is>
          <t>16 cm</t>
        </is>
      </c>
      <c r="B14" s="23" t="n">
        <v>24.98</v>
      </c>
      <c r="C14" s="23" t="n">
        <v>25.8</v>
      </c>
      <c r="D14" s="23" t="n">
        <v>26.61</v>
      </c>
      <c r="E14" s="23" t="n">
        <v>27.16</v>
      </c>
      <c r="F14" s="23" t="n">
        <v>28.51</v>
      </c>
      <c r="G14" s="24" t="n">
        <v>1500</v>
      </c>
    </row>
    <row r="15" ht="20" customHeight="1">
      <c r="A15" s="22" t="inlineStr">
        <is>
          <t>17 cm</t>
        </is>
      </c>
      <c r="B15" s="23" t="n">
        <v>26.14</v>
      </c>
      <c r="C15" s="23" t="n">
        <v>26.99</v>
      </c>
      <c r="D15" s="23" t="n">
        <v>27.85</v>
      </c>
      <c r="E15" s="23" t="n">
        <v>28.42</v>
      </c>
      <c r="F15" s="23" t="n">
        <v>29.84</v>
      </c>
      <c r="G15" s="24" t="n">
        <v>1500</v>
      </c>
    </row>
    <row r="16" ht="20" customHeight="1">
      <c r="A16" s="22" t="inlineStr">
        <is>
          <t>18 cm</t>
        </is>
      </c>
      <c r="B16" s="23" t="n">
        <v>27.3</v>
      </c>
      <c r="C16" s="23" t="n">
        <v>28.19</v>
      </c>
      <c r="D16" s="23" t="n">
        <v>29.08</v>
      </c>
      <c r="E16" s="23" t="n">
        <v>29.68</v>
      </c>
      <c r="F16" s="23" t="n">
        <v>31.16</v>
      </c>
      <c r="G16" s="24" t="n">
        <v>1500</v>
      </c>
    </row>
    <row r="17" ht="20" customHeight="1">
      <c r="A17" s="22" t="inlineStr">
        <is>
          <t>19 cm</t>
        </is>
      </c>
      <c r="B17" s="23" t="n">
        <v>28.46</v>
      </c>
      <c r="C17" s="23" t="n">
        <v>29.39</v>
      </c>
      <c r="D17" s="23" t="n">
        <v>30.32</v>
      </c>
      <c r="E17" s="23" t="n">
        <v>30.94</v>
      </c>
      <c r="F17" s="23" t="n">
        <v>32.48</v>
      </c>
      <c r="G17" s="24" t="n">
        <v>1600</v>
      </c>
    </row>
    <row r="18" ht="20" customHeight="1">
      <c r="A18" s="22" t="inlineStr">
        <is>
          <t>20 cm</t>
        </is>
      </c>
      <c r="B18" s="23" t="n">
        <v>29.62</v>
      </c>
      <c r="C18" s="23" t="n">
        <v>30.59</v>
      </c>
      <c r="D18" s="23" t="n">
        <v>31.55</v>
      </c>
      <c r="E18" s="23" t="n">
        <v>32.2</v>
      </c>
      <c r="F18" s="23" t="n">
        <v>33.81</v>
      </c>
      <c r="G18" s="24" t="n">
        <v>1600</v>
      </c>
    </row>
    <row r="19" ht="20" customHeight="1">
      <c r="A19" s="22" t="inlineStr">
        <is>
          <t>21 cm</t>
        </is>
      </c>
      <c r="B19" s="23" t="n">
        <v>30.78</v>
      </c>
      <c r="C19" s="23" t="n">
        <v>31.78</v>
      </c>
      <c r="D19" s="23" t="n">
        <v>32.79</v>
      </c>
      <c r="E19" s="23" t="n">
        <v>33.46</v>
      </c>
      <c r="F19" s="23" t="n">
        <v>35.13</v>
      </c>
      <c r="G19" s="24" t="n">
        <v>1600</v>
      </c>
    </row>
    <row r="20" ht="20" customHeight="1">
      <c r="A20" s="22" t="inlineStr">
        <is>
          <t>23 cm</t>
        </is>
      </c>
      <c r="B20" s="23" t="n">
        <v>33.1</v>
      </c>
      <c r="C20" s="23" t="n">
        <v>34.18</v>
      </c>
      <c r="D20" s="23" t="n">
        <v>35.26</v>
      </c>
      <c r="E20" s="23" t="n">
        <v>35.98</v>
      </c>
      <c r="F20" s="23" t="n">
        <v>37.77</v>
      </c>
      <c r="G20" s="24" t="n">
        <v>1800</v>
      </c>
    </row>
    <row r="21" ht="20" customHeight="1">
      <c r="A21" s="22" t="inlineStr">
        <is>
          <t>25 cm</t>
        </is>
      </c>
      <c r="B21" s="23" t="n">
        <v>35.42</v>
      </c>
      <c r="C21" s="23" t="n">
        <v>36.57</v>
      </c>
      <c r="D21" s="23" t="n">
        <v>37.73</v>
      </c>
      <c r="E21" s="23" t="n">
        <v>38.5</v>
      </c>
      <c r="F21" s="23" t="n">
        <v>40.42</v>
      </c>
      <c r="G21" s="2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2026-06-12T10:01:33Z</dcterms:created>
  <dcterms:modified xmlns:dcterms="http://purl.org/dc/terms/" xmlns:xsi="http://www.w3.org/2001/XMLSchema-instance" xsi:type="dcterms:W3CDTF">2026-06-12T10:01:33Z</dcterms:modified>
</cp:coreProperties>
</file>