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eur" sheetId="1" state="visible" r:id="rId1"/>
    <sheet xmlns:r="http://schemas.openxmlformats.org/officeDocument/2006/relationships" name="Gril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 €"/>
    <numFmt numFmtId="165" formatCode="#,##0 €"/>
    <numFmt numFmtId="166" formatCode="#,##0.00 €"/>
    <numFmt numFmtId="167" formatCode="0.0%"/>
  </numFmts>
  <fonts count="21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b val="1"/>
      <color rgb="00FFFFFF"/>
      <sz val="11"/>
    </font>
    <font>
      <name val="Segoe UI"/>
      <b val="1"/>
    </font>
    <font>
      <name val="Segoe UI"/>
      <b val="1"/>
      <color rgb="00FFFFFF"/>
      <sz val="22"/>
    </font>
    <font>
      <name val="Segoe UI"/>
      <b val="1"/>
      <color rgb="00FFFFFF"/>
      <sz val="13"/>
    </font>
    <font>
      <name val="Segoe UI"/>
      <b val="1"/>
      <color rgb="00334155"/>
      <sz val="11"/>
    </font>
    <font>
      <name val="Segoe UI"/>
      <b val="1"/>
      <color rgb="00000000"/>
      <sz val="12"/>
    </font>
    <font>
      <name val="Segoe UI"/>
      <i val="1"/>
      <color rgb="0064748B"/>
      <sz val="11"/>
    </font>
    <font>
      <name val="Segoe UI"/>
      <b val="1"/>
      <color rgb="000369A1"/>
      <sz val="10"/>
    </font>
    <font>
      <name val="Segoe UI"/>
      <b val="1"/>
      <color rgb="000369A1"/>
      <sz val="18"/>
    </font>
    <font>
      <name val="Segoe UI"/>
      <b val="1"/>
      <color rgb="00991B1B"/>
      <sz val="10"/>
    </font>
    <font>
      <name val="Segoe UI"/>
      <b val="1"/>
      <color rgb="00991B1B"/>
      <sz val="18"/>
    </font>
    <font>
      <name val="Segoe UI"/>
      <b val="1"/>
      <color rgb="00166534"/>
      <sz val="11"/>
    </font>
    <font>
      <name val="Segoe UI"/>
      <b val="1"/>
      <color rgb="00166534"/>
      <sz val="24"/>
    </font>
    <font>
      <name val="Segoe UI"/>
      <i val="1"/>
      <sz val="11"/>
    </font>
    <font>
      <name val="Segoe UI"/>
      <b val="1"/>
      <color rgb="00166534"/>
      <sz val="12"/>
    </font>
    <font>
      <name val="Segoe UI"/>
      <b val="1"/>
      <color rgb="00166534"/>
      <sz val="14"/>
    </font>
    <font>
      <name val="Segoe UI"/>
      <color rgb="00475569"/>
      <sz val="10"/>
    </font>
    <font>
      <name val="Segoe UI"/>
      <sz val="11"/>
    </font>
    <font>
      <name val="Segoe UI"/>
      <b val="1"/>
      <sz val="11"/>
    </font>
  </fonts>
  <fills count="10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166534"/>
        <bgColor rgb="00166534"/>
      </patternFill>
    </fill>
    <fill>
      <patternFill patternType="solid">
        <fgColor rgb="00F1F5F9"/>
        <bgColor rgb="00F1F5F9"/>
      </patternFill>
    </fill>
    <fill>
      <patternFill patternType="solid">
        <fgColor rgb="00E0F2FE"/>
        <bgColor rgb="00E0F2FE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</fills>
  <borders count="30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bottom style="thin">
        <color rgb="00E2E8F0"/>
      </bottom>
    </border>
    <border>
      <left style="medium">
        <color rgb="000369A1"/>
      </left>
      <top style="medium">
        <color rgb="000369A1"/>
      </top>
    </border>
    <border>
      <top style="medium">
        <color rgb="000369A1"/>
      </top>
    </border>
    <border>
      <right style="medium">
        <color rgb="000369A1"/>
      </right>
      <top style="medium">
        <color rgb="000369A1"/>
      </top>
    </border>
    <border>
      <left style="medium">
        <color rgb="000369A1"/>
      </left>
      <bottom style="medium">
        <color rgb="000369A1"/>
      </bottom>
    </border>
    <border>
      <bottom style="medium">
        <color rgb="000369A1"/>
      </bottom>
    </border>
    <border>
      <right style="medium">
        <color rgb="000369A1"/>
      </right>
      <bottom style="medium">
        <color rgb="000369A1"/>
      </bottom>
    </border>
    <border>
      <left style="medium">
        <color rgb="00991B1B"/>
      </left>
      <top style="medium">
        <color rgb="00991B1B"/>
      </top>
    </border>
    <border>
      <top style="medium">
        <color rgb="00991B1B"/>
      </top>
    </border>
    <border>
      <right style="medium">
        <color rgb="00991B1B"/>
      </right>
      <top style="medium">
        <color rgb="00991B1B"/>
      </top>
    </border>
    <border>
      <left style="medium">
        <color rgb="00991B1B"/>
      </left>
      <bottom style="medium">
        <color rgb="00991B1B"/>
      </bottom>
    </border>
    <border>
      <bottom style="medium">
        <color rgb="00991B1B"/>
      </bottom>
    </border>
    <border>
      <right style="medium">
        <color rgb="00991B1B"/>
      </right>
      <bottom style="medium">
        <color rgb="00991B1B"/>
      </bottom>
    </border>
    <border>
      <left style="medium">
        <color rgb="00166534"/>
      </left>
      <top style="medium">
        <color rgb="00166534"/>
      </top>
    </border>
    <border>
      <top style="medium">
        <color rgb="00166534"/>
      </top>
    </border>
    <border>
      <right style="medium">
        <color rgb="00166534"/>
      </right>
      <top style="medium">
        <color rgb="00166534"/>
      </top>
    </border>
    <border>
      <left style="medium">
        <color rgb="00166534"/>
      </left>
      <bottom style="medium">
        <color rgb="00166534"/>
      </bottom>
    </border>
    <border>
      <bottom style="medium">
        <color rgb="00166534"/>
      </bottom>
    </border>
    <border>
      <right style="medium">
        <color rgb="00166534"/>
      </right>
      <bottom style="medium">
        <color rgb="00166534"/>
      </bottom>
    </border>
    <border>
      <left style="medium">
        <color rgb="00166534"/>
      </left>
      <bottom style="thin">
        <color rgb="00CBD5E1"/>
      </bottom>
    </border>
    <border>
      <right style="medium">
        <color rgb="00166534"/>
      </right>
      <bottom style="thin">
        <color rgb="00CBD5E1"/>
      </bottom>
    </border>
    <border>
      <left style="medium">
        <color rgb="00475569"/>
      </left>
      <bottom/>
    </border>
    <border>
      <right style="medium">
        <color rgb="00475569"/>
      </right>
      <bottom/>
    </border>
    <border>
      <left style="medium">
        <color rgb="00475569"/>
      </left>
      <bottom style="thin">
        <color rgb="00E2E8F0"/>
      </bottom>
    </border>
    <border>
      <right style="medium">
        <color rgb="00475569"/>
      </right>
      <bottom style="thin">
        <color rgb="00E2E8F0"/>
      </bottom>
    </border>
    <border>
      <left style="medium">
        <color rgb="00475569"/>
      </left>
      <bottom style="medium">
        <color rgb="00475569"/>
      </bottom>
    </border>
    <border>
      <bottom style="medium">
        <color rgb="00475569"/>
      </bottom>
    </border>
    <border>
      <right style="medium">
        <color rgb="00475569"/>
      </right>
      <bottom style="medium">
        <color rgb="00475569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23" applyAlignment="1" pivotButton="0" quotePrefix="0" xfId="0">
      <alignment horizontal="left" vertical="center"/>
    </xf>
    <xf numFmtId="0" fontId="0" fillId="0" borderId="24" pivotButton="0" quotePrefix="0" xfId="0"/>
    <xf numFmtId="0" fontId="5" fillId="5" borderId="0" applyAlignment="1" pivotButton="0" quotePrefix="0" xfId="0">
      <alignment horizontal="left" vertical="center"/>
    </xf>
    <xf numFmtId="0" fontId="6" fillId="0" borderId="25" applyAlignment="1" pivotButton="0" quotePrefix="0" xfId="0">
      <alignment vertical="center"/>
    </xf>
    <xf numFmtId="3" fontId="7" fillId="6" borderId="2" applyAlignment="1" pivotButton="0" quotePrefix="0" xfId="0">
      <alignment horizontal="right" vertical="center"/>
    </xf>
    <xf numFmtId="0" fontId="8" fillId="0" borderId="26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0" fontId="0" fillId="7" borderId="4" pivotButton="0" quotePrefix="0" xfId="0"/>
    <xf numFmtId="0" fontId="0" fillId="7" borderId="5" pivotButton="0" quotePrefix="0" xfId="0"/>
    <xf numFmtId="166" fontId="7" fillId="7" borderId="2" applyAlignment="1" pivotButton="0" quotePrefix="0" xfId="0">
      <alignment horizontal="right" vertical="center"/>
    </xf>
    <xf numFmtId="166" fontId="10" fillId="7" borderId="6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8" pivotButton="0" quotePrefix="0" xfId="0"/>
    <xf numFmtId="0" fontId="7" fillId="6" borderId="2" applyAlignment="1" pivotButton="0" quotePrefix="0" xfId="0">
      <alignment horizontal="center" vertical="center"/>
    </xf>
    <xf numFmtId="0" fontId="11" fillId="8" borderId="9" applyAlignment="1" pivotButton="0" quotePrefix="0" xfId="0">
      <alignment horizontal="center" vertical="center"/>
    </xf>
    <xf numFmtId="0" fontId="0" fillId="8" borderId="10" pivotButton="0" quotePrefix="0" xfId="0"/>
    <xf numFmtId="0" fontId="0" fillId="8" borderId="11" pivotButton="0" quotePrefix="0" xfId="0"/>
    <xf numFmtId="166" fontId="12" fillId="8" borderId="12" applyAlignment="1" pivotButton="0" quotePrefix="0" xfId="0">
      <alignment horizontal="center" vertical="center"/>
    </xf>
    <xf numFmtId="0" fontId="0" fillId="8" borderId="13" pivotButton="0" quotePrefix="0" xfId="0"/>
    <xf numFmtId="0" fontId="0" fillId="8" borderId="14" pivotButton="0" quotePrefix="0" xfId="0"/>
    <xf numFmtId="0" fontId="13" fillId="9" borderId="15" applyAlignment="1" pivotButton="0" quotePrefix="0" xfId="0">
      <alignment horizontal="center" vertical="center"/>
    </xf>
    <xf numFmtId="0" fontId="0" fillId="9" borderId="16" pivotButton="0" quotePrefix="0" xfId="0"/>
    <xf numFmtId="0" fontId="0" fillId="9" borderId="17" pivotButton="0" quotePrefix="0" xfId="0"/>
    <xf numFmtId="0" fontId="6" fillId="0" borderId="27" applyAlignment="1" pivotButton="0" quotePrefix="0" xfId="0">
      <alignment vertical="center"/>
    </xf>
    <xf numFmtId="167" fontId="7" fillId="6" borderId="28" applyAlignment="1" pivotButton="0" quotePrefix="0" xfId="0">
      <alignment horizontal="right" vertical="center"/>
    </xf>
    <xf numFmtId="0" fontId="8" fillId="0" borderId="29" applyAlignment="1" pivotButton="0" quotePrefix="0" xfId="0">
      <alignment horizontal="center" vertical="center"/>
    </xf>
    <xf numFmtId="166" fontId="14" fillId="9" borderId="18" applyAlignment="1" pivotButton="0" quotePrefix="0" xfId="0">
      <alignment horizontal="center" vertical="center"/>
    </xf>
    <xf numFmtId="0" fontId="0" fillId="9" borderId="19" pivotButton="0" quotePrefix="0" xfId="0"/>
    <xf numFmtId="0" fontId="0" fillId="9" borderId="20" pivotButton="0" quotePrefix="0" xfId="0"/>
    <xf numFmtId="0" fontId="15" fillId="6" borderId="2" applyAlignment="1" pivotButton="0" quotePrefix="0" xfId="0">
      <alignment horizontal="center" vertical="center"/>
    </xf>
    <xf numFmtId="0" fontId="0" fillId="0" borderId="26" pivotButton="0" quotePrefix="0" xfId="0"/>
    <xf numFmtId="0" fontId="16" fillId="9" borderId="21" applyAlignment="1" pivotButton="0" quotePrefix="0" xfId="0">
      <alignment vertical="center"/>
    </xf>
    <xf numFmtId="167" fontId="17" fillId="9" borderId="2" applyAlignment="1" pivotButton="0" quotePrefix="0" xfId="0">
      <alignment horizontal="right" vertical="center"/>
    </xf>
    <xf numFmtId="0" fontId="0" fillId="9" borderId="22" pivotButton="0" quotePrefix="0" xfId="0"/>
    <xf numFmtId="166" fontId="7" fillId="0" borderId="2" applyAlignment="1" pivotButton="0" quotePrefix="0" xfId="0">
      <alignment horizontal="right" vertical="center"/>
    </xf>
    <xf numFmtId="0" fontId="0" fillId="9" borderId="18" pivotButton="0" quotePrefix="0" xfId="0"/>
    <xf numFmtId="0" fontId="18" fillId="0" borderId="25" applyAlignment="1" pivotButton="0" quotePrefix="0" xfId="0">
      <alignment vertical="center"/>
    </xf>
    <xf numFmtId="166" fontId="19" fillId="0" borderId="2" applyAlignment="1" pivotButton="0" quotePrefix="0" xfId="0">
      <alignment horizontal="right" vertical="center"/>
    </xf>
    <xf numFmtId="167" fontId="19" fillId="0" borderId="2" applyAlignment="1" pivotButton="0" quotePrefix="0" xfId="0">
      <alignment horizontal="center" vertical="center"/>
    </xf>
    <xf numFmtId="166" fontId="20" fillId="0" borderId="28" applyAlignment="1" pivotButton="0" quotePrefix="0" xfId="0">
      <alignment horizontal="right" vertical="center"/>
    </xf>
    <xf numFmtId="0" fontId="0" fillId="0" borderId="29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4" customWidth="1" min="3" max="3"/>
    <col width="10" customWidth="1" min="4" max="4"/>
    <col width="4" customWidth="1" min="5" max="5"/>
    <col width="24" customWidth="1" min="6" max="6"/>
    <col width="20" customWidth="1" min="7" max="7"/>
    <col width="16" customWidth="1" min="8" max="8"/>
  </cols>
  <sheetData>
    <row r="2" ht="55" customHeight="1">
      <c r="B2" s="1" t="inlineStr">
        <is>
          <t>TABLEAU DE BORD DE MARGE POLYURÉTHANE</t>
        </is>
      </c>
    </row>
    <row r="4" ht="30" customHeight="1">
      <c r="B4" s="2" t="inlineStr">
        <is>
          <t xml:space="preserve"> 🔍 SAISIE DES DONNÉES DU PROJET</t>
        </is>
      </c>
      <c r="D4" s="3" t="n"/>
      <c r="F4" s="4" t="inlineStr">
        <is>
          <t xml:space="preserve"> 📊 RÉSULTATS FINANCIERS</t>
        </is>
      </c>
    </row>
    <row r="5" ht="20" customHeight="1">
      <c r="B5" s="5" t="inlineStr">
        <is>
          <t>Surface Totale (Métrage)</t>
        </is>
      </c>
      <c r="C5" s="6" t="n">
        <v>120</v>
      </c>
      <c r="D5" s="7" t="inlineStr">
        <is>
          <t>m²</t>
        </is>
      </c>
      <c r="F5" s="8" t="inlineStr">
        <is>
          <t>VOTRE FACTURATION CLIENT TOTAL (HT)</t>
        </is>
      </c>
      <c r="G5" s="9" t="n"/>
      <c r="H5" s="10" t="n"/>
    </row>
    <row r="6" ht="35" customHeight="1">
      <c r="B6" s="5" t="inlineStr">
        <is>
          <t>Prix Client au m²</t>
        </is>
      </c>
      <c r="C6" s="11" t="n">
        <v>83.33</v>
      </c>
      <c r="D6" s="7" t="inlineStr">
        <is>
          <t>€/m²</t>
        </is>
      </c>
      <c r="F6" s="12">
        <f>C7</f>
        <v/>
      </c>
      <c r="G6" s="13" t="n"/>
      <c r="H6" s="14" t="n"/>
    </row>
    <row r="7" ht="28" customHeight="1">
      <c r="B7" s="5" t="inlineStr">
        <is>
          <t>Votre Prix de Vente (Client) Total</t>
        </is>
      </c>
      <c r="C7" s="11">
        <f>C5*C6</f>
        <v/>
      </c>
      <c r="D7" s="7" t="inlineStr">
        <is>
          <t>€</t>
        </is>
      </c>
    </row>
    <row r="8" ht="20" customHeight="1">
      <c r="B8" s="5" t="inlineStr">
        <is>
          <t>Épaisseur de mousse</t>
        </is>
      </c>
      <c r="C8" s="15" t="inlineStr">
        <is>
          <t>10 cm</t>
        </is>
      </c>
      <c r="D8" s="7" t="inlineStr">
        <is>
          <t>cm</t>
        </is>
      </c>
      <c r="F8" s="16" t="inlineStr">
        <is>
          <t>COÛT DU SOUS-TRAITANT TOTAL (HT)</t>
        </is>
      </c>
      <c r="G8" s="17" t="n"/>
      <c r="H8" s="18" t="n"/>
    </row>
    <row r="9" ht="35" customHeight="1">
      <c r="B9" s="5" t="inlineStr">
        <is>
          <t>Distance de Déplacement</t>
        </is>
      </c>
      <c r="C9" s="15" t="inlineStr">
        <is>
          <t>Rayon ≤ 30 Km</t>
        </is>
      </c>
      <c r="D9" s="7" t="inlineStr">
        <is>
          <t>Choix</t>
        </is>
      </c>
      <c r="F9" s="19">
        <f>IF(C5&lt;50, C21, C21*C5)</f>
        <v/>
      </c>
      <c r="G9" s="20" t="n"/>
      <c r="H9" s="21" t="n"/>
    </row>
    <row r="10" ht="28" customHeight="1">
      <c r="B10" s="5" t="inlineStr">
        <is>
          <t>Conditions Partenaire</t>
        </is>
      </c>
      <c r="C10" s="15" t="inlineStr">
        <is>
          <t>Non</t>
        </is>
      </c>
      <c r="D10" s="7" t="inlineStr">
        <is>
          <t>Oui / Non</t>
        </is>
      </c>
    </row>
    <row r="11" ht="20" customHeight="1">
      <c r="B11" s="5" t="inlineStr">
        <is>
          <t>Délai de Paiement</t>
        </is>
      </c>
      <c r="C11" s="15" t="inlineStr">
        <is>
          <t>30 jours (Standard)</t>
        </is>
      </c>
      <c r="D11" s="7" t="inlineStr">
        <is>
          <t>Choix</t>
        </is>
      </c>
      <c r="F11" s="22" t="inlineStr">
        <is>
          <t>VOTRE BÉNÉFICE NET (DIFFÉRENCE B - A)</t>
        </is>
      </c>
      <c r="G11" s="23" t="n"/>
      <c r="H11" s="24" t="n"/>
    </row>
    <row r="12" ht="42" customHeight="1">
      <c r="B12" s="25" t="inlineStr">
        <is>
          <t>Majoration Sous-traitant</t>
        </is>
      </c>
      <c r="C12" s="26" t="n">
        <v>0.1</v>
      </c>
      <c r="D12" s="27" t="inlineStr">
        <is>
          <t>%</t>
        </is>
      </c>
      <c r="F12" s="28">
        <f>F6-F9</f>
        <v/>
      </c>
      <c r="G12" s="29" t="n"/>
      <c r="H12" s="30" t="n"/>
    </row>
    <row r="14" ht="30" customHeight="1">
      <c r="B14" s="2" t="inlineStr">
        <is>
          <t xml:space="preserve"> ⚙️ DÉTAILS DE LA FACTURATION SOUS-TRAITANT</t>
        </is>
      </c>
      <c r="D14" s="3" t="n"/>
      <c r="F14" s="4" t="inlineStr">
        <is>
          <t xml:space="preserve"> 📈 RENDEMENT &amp; RENTABILITÉ</t>
        </is>
      </c>
    </row>
    <row r="15">
      <c r="B15" s="5" t="inlineStr">
        <is>
          <t>Catégorie de Surface (Calculée)</t>
        </is>
      </c>
      <c r="C15" s="31">
        <f>IF(C5&lt;50, "&lt;50M2 (FORFAIT)", IF(C5&lt;100, "50-100M2 (+5%)", IF(C5&lt;150, "100-150M2 (0%)", IF(C5&lt;250, "150-250M2 (-2%)", IF(C5&lt;=400, "250-400M2 (-5%)", "&gt;400M2 (-8%)")))))</f>
        <v/>
      </c>
      <c r="D15" s="32" t="n"/>
      <c r="F15" s="33" t="inlineStr">
        <is>
          <t>Marge Bénéficiaire (%)</t>
        </is>
      </c>
      <c r="G15" s="34">
        <f>IF(F6&gt;0, F12/F6, 0)</f>
        <v/>
      </c>
      <c r="H15" s="35" t="n"/>
    </row>
    <row r="16">
      <c r="B16" s="5" t="inlineStr">
        <is>
          <t>Tarif de Base NESTAAN</t>
        </is>
      </c>
      <c r="C16" s="36">
        <f>INDEX(Grille!$B$3:$G$21, MATCH(C8, Grille!$A$3:$A$21, 0), MATCH(C15, Grille!$B$2:$G$2, 0))</f>
        <v/>
      </c>
      <c r="D16" s="32" t="n"/>
      <c r="F16" s="37" t="n"/>
      <c r="G16" s="29" t="n"/>
      <c r="H16" s="30" t="n"/>
    </row>
    <row r="17" ht="25" customHeight="1">
      <c r="B17" s="38" t="inlineStr">
        <is>
          <t>Base avec Majoration (+10%)</t>
        </is>
      </c>
      <c r="C17" s="39">
        <f>C16*(1+C12)</f>
        <v/>
      </c>
      <c r="D17" s="32" t="n"/>
    </row>
    <row r="18" ht="25" customHeight="1">
      <c r="B18" s="38" t="inlineStr">
        <is>
          <t>Ajustement Rayon / Distance</t>
        </is>
      </c>
      <c r="C18" s="40">
        <f>IF(C9="Rayon de 30 à 60 Km", 1.01, IF(C9="Rayon &gt; 60 Km", 1.02, 1.00))</f>
        <v/>
      </c>
      <c r="D18" s="32" t="n"/>
    </row>
    <row r="19" ht="25" customHeight="1">
      <c r="B19" s="38" t="inlineStr">
        <is>
          <t>Ajustement Partenaire (-10%)</t>
        </is>
      </c>
      <c r="C19" s="40">
        <f>IF(C10="Oui", 0.90, 1.00)</f>
        <v/>
      </c>
      <c r="D19" s="32" t="n"/>
    </row>
    <row r="20" ht="25" customHeight="1">
      <c r="B20" s="38" t="inlineStr">
        <is>
          <t>Ajustement Escompte (-2%)</t>
        </is>
      </c>
      <c r="C20" s="40">
        <f>IF(C11="8 jours (-2%)", 0.98, 1.00)</f>
        <v/>
      </c>
      <c r="D20" s="32" t="n"/>
    </row>
    <row r="21" ht="25" customHeight="1">
      <c r="B21" s="25" t="inlineStr">
        <is>
          <t>Tarif Unitaire Final Sous-traitant</t>
        </is>
      </c>
      <c r="C21" s="41">
        <f>C17*C18*C19*C20</f>
        <v/>
      </c>
      <c r="D21" s="42" t="n"/>
    </row>
  </sheetData>
  <mergeCells count="11">
    <mergeCell ref="F6:H6"/>
    <mergeCell ref="F5:H5"/>
    <mergeCell ref="B14:D14"/>
    <mergeCell ref="F14:H14"/>
    <mergeCell ref="B4:D4"/>
    <mergeCell ref="F8:H8"/>
    <mergeCell ref="F4:H4"/>
    <mergeCell ref="B2:H2"/>
    <mergeCell ref="F9:H9"/>
    <mergeCell ref="F12:H12"/>
    <mergeCell ref="F11:H11"/>
  </mergeCells>
  <dataValidations count="4">
    <dataValidation sqref="C8" showDropDown="0" showInputMessage="0" showErrorMessage="0" allowBlank="1" type="list">
      <formula1>Grille!$A$3:$A$21</formula1>
    </dataValidation>
    <dataValidation sqref="C9" showDropDown="0" showInputMessage="0" showErrorMessage="0" allowBlank="1" type="list">
      <formula1>"Rayon ≤ 30 Km,Rayon de 30 à 60 Km,Rayon &gt; 60 Km"</formula1>
    </dataValidation>
    <dataValidation sqref="C10" showDropDown="0" showInputMessage="0" showErrorMessage="0" allowBlank="1" type="list">
      <formula1>"Oui,Non"</formula1>
    </dataValidation>
    <dataValidation sqref="C11" showDropDown="0" showInputMessage="0" showErrorMessage="0" allowBlank="1" type="list">
      <formula1>"30 jours (Standard),8 jours (-2%)"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9" customWidth="1" min="3" max="3"/>
    <col width="19" customWidth="1" min="4" max="4"/>
    <col width="18" customWidth="1" min="5" max="5"/>
    <col width="18" customWidth="1" min="6" max="6"/>
    <col width="19" customWidth="1" min="7" max="7"/>
  </cols>
  <sheetData>
    <row r="1" ht="30" customHeight="1">
      <c r="A1" s="43" t="inlineStr">
        <is>
          <t>Grille de Tarifs NESTAAN S-09 (Hors TVA)</t>
        </is>
      </c>
    </row>
    <row r="2" ht="25" customHeight="1">
      <c r="A2" s="44" t="inlineStr">
        <is>
          <t>Épaisseur</t>
        </is>
      </c>
      <c r="B2" s="44" t="inlineStr">
        <is>
          <t>&gt;400M2 (-8%)</t>
        </is>
      </c>
      <c r="C2" s="44" t="inlineStr">
        <is>
          <t>250-400M2 (-5%)</t>
        </is>
      </c>
      <c r="D2" s="44" t="inlineStr">
        <is>
          <t>150-250M2 (-2%)</t>
        </is>
      </c>
      <c r="E2" s="44" t="inlineStr">
        <is>
          <t>100-150M2 (0%)</t>
        </is>
      </c>
      <c r="F2" s="44" t="inlineStr">
        <is>
          <t>50-100M2 (+5%)</t>
        </is>
      </c>
      <c r="G2" s="44" t="inlineStr">
        <is>
          <t>&lt;50M2 (FORFAIT)</t>
        </is>
      </c>
    </row>
    <row r="3" ht="20" customHeight="1">
      <c r="A3" s="45" t="inlineStr">
        <is>
          <t>5 cm</t>
        </is>
      </c>
      <c r="B3" s="46" t="n">
        <v>12.23</v>
      </c>
      <c r="C3" s="46" t="n">
        <v>12.63</v>
      </c>
      <c r="D3" s="46" t="n">
        <v>13.03</v>
      </c>
      <c r="E3" s="46" t="n">
        <v>13.3</v>
      </c>
      <c r="F3" s="46" t="n">
        <v>13.96</v>
      </c>
      <c r="G3" s="47" t="n">
        <v>1200</v>
      </c>
    </row>
    <row r="4" ht="20" customHeight="1">
      <c r="A4" s="45" t="inlineStr">
        <is>
          <t>6 cm</t>
        </is>
      </c>
      <c r="B4" s="46" t="n">
        <v>13.39</v>
      </c>
      <c r="C4" s="46" t="n">
        <v>13.83</v>
      </c>
      <c r="D4" s="46" t="n">
        <v>14.26</v>
      </c>
      <c r="E4" s="46" t="n">
        <v>14.56</v>
      </c>
      <c r="F4" s="46" t="n">
        <v>15.28</v>
      </c>
      <c r="G4" s="47" t="n">
        <v>1200</v>
      </c>
    </row>
    <row r="5" ht="20" customHeight="1">
      <c r="A5" s="45" t="inlineStr">
        <is>
          <t>7 cm</t>
        </is>
      </c>
      <c r="B5" s="46" t="n">
        <v>14.55</v>
      </c>
      <c r="C5" s="46" t="n">
        <v>15.02</v>
      </c>
      <c r="D5" s="46" t="n">
        <v>15.5</v>
      </c>
      <c r="E5" s="46" t="n">
        <v>15.82</v>
      </c>
      <c r="F5" s="46" t="n">
        <v>16.61</v>
      </c>
      <c r="G5" s="47" t="n">
        <v>1200</v>
      </c>
    </row>
    <row r="6" ht="20" customHeight="1">
      <c r="A6" s="45" t="inlineStr">
        <is>
          <t>8 cm</t>
        </is>
      </c>
      <c r="B6" s="46" t="n">
        <v>15.71</v>
      </c>
      <c r="C6" s="46" t="n">
        <v>16.22</v>
      </c>
      <c r="D6" s="46" t="n">
        <v>16.73</v>
      </c>
      <c r="E6" s="46" t="n">
        <v>17.08</v>
      </c>
      <c r="F6" s="46" t="n">
        <v>17.93</v>
      </c>
      <c r="G6" s="47" t="n">
        <v>1200</v>
      </c>
    </row>
    <row r="7" ht="20" customHeight="1">
      <c r="A7" s="45" t="inlineStr">
        <is>
          <t>9 cm</t>
        </is>
      </c>
      <c r="B7" s="46" t="n">
        <v>16.87</v>
      </c>
      <c r="C7" s="46" t="n">
        <v>17.42</v>
      </c>
      <c r="D7" s="46" t="n">
        <v>17.97</v>
      </c>
      <c r="E7" s="46" t="n">
        <v>18.34</v>
      </c>
      <c r="F7" s="46" t="n">
        <v>19.25</v>
      </c>
      <c r="G7" s="47" t="n">
        <v>1200</v>
      </c>
    </row>
    <row r="8" ht="20" customHeight="1">
      <c r="A8" s="45" t="inlineStr">
        <is>
          <t>10 cm</t>
        </is>
      </c>
      <c r="B8" s="46" t="n">
        <v>18.03</v>
      </c>
      <c r="C8" s="46" t="n">
        <v>18.62</v>
      </c>
      <c r="D8" s="46" t="n">
        <v>19.2</v>
      </c>
      <c r="E8" s="46" t="n">
        <v>19.6</v>
      </c>
      <c r="F8" s="46" t="n">
        <v>20.58</v>
      </c>
      <c r="G8" s="47" t="n">
        <v>1200</v>
      </c>
    </row>
    <row r="9" ht="20" customHeight="1">
      <c r="A9" s="45" t="inlineStr">
        <is>
          <t>11 cm</t>
        </is>
      </c>
      <c r="B9" s="46" t="n">
        <v>19.19</v>
      </c>
      <c r="C9" s="46" t="n">
        <v>19.81</v>
      </c>
      <c r="D9" s="46" t="n">
        <v>20.44</v>
      </c>
      <c r="E9" s="46" t="n">
        <v>20.86</v>
      </c>
      <c r="F9" s="46" t="n">
        <v>21.9</v>
      </c>
      <c r="G9" s="47" t="n">
        <v>1400</v>
      </c>
    </row>
    <row r="10" ht="20" customHeight="1">
      <c r="A10" s="45" t="inlineStr">
        <is>
          <t>12 cm</t>
        </is>
      </c>
      <c r="B10" s="46" t="n">
        <v>20.35</v>
      </c>
      <c r="C10" s="46" t="n">
        <v>21.01</v>
      </c>
      <c r="D10" s="46" t="n">
        <v>21.67</v>
      </c>
      <c r="E10" s="46" t="n">
        <v>22.12</v>
      </c>
      <c r="F10" s="46" t="n">
        <v>23.22</v>
      </c>
      <c r="G10" s="47" t="n">
        <v>1400</v>
      </c>
    </row>
    <row r="11" ht="20" customHeight="1">
      <c r="A11" s="45" t="inlineStr">
        <is>
          <t>13 cm</t>
        </is>
      </c>
      <c r="B11" s="46" t="n">
        <v>21.5</v>
      </c>
      <c r="C11" s="46" t="n">
        <v>22.21</v>
      </c>
      <c r="D11" s="46" t="n">
        <v>22.91</v>
      </c>
      <c r="E11" s="46" t="n">
        <v>23.38</v>
      </c>
      <c r="F11" s="46" t="n">
        <v>24.54</v>
      </c>
      <c r="G11" s="47" t="n">
        <v>1400</v>
      </c>
    </row>
    <row r="12" ht="20" customHeight="1">
      <c r="A12" s="45" t="inlineStr">
        <is>
          <t>14 cm</t>
        </is>
      </c>
      <c r="B12" s="46" t="n">
        <v>22.66</v>
      </c>
      <c r="C12" s="46" t="n">
        <v>23.4</v>
      </c>
      <c r="D12" s="46" t="n">
        <v>24.14</v>
      </c>
      <c r="E12" s="46" t="n">
        <v>24.64</v>
      </c>
      <c r="F12" s="46" t="n">
        <v>25.87</v>
      </c>
      <c r="G12" s="47" t="n">
        <v>1400</v>
      </c>
    </row>
    <row r="13" ht="20" customHeight="1">
      <c r="A13" s="45" t="inlineStr">
        <is>
          <t>15 cm</t>
        </is>
      </c>
      <c r="B13" s="46" t="n">
        <v>23.82</v>
      </c>
      <c r="C13" s="46" t="n">
        <v>24.6</v>
      </c>
      <c r="D13" s="46" t="n">
        <v>25.38</v>
      </c>
      <c r="E13" s="46" t="n">
        <v>25.9</v>
      </c>
      <c r="F13" s="46" t="n">
        <v>27.19</v>
      </c>
      <c r="G13" s="47" t="n">
        <v>1400</v>
      </c>
    </row>
    <row r="14" ht="20" customHeight="1">
      <c r="A14" s="45" t="inlineStr">
        <is>
          <t>16 cm</t>
        </is>
      </c>
      <c r="B14" s="46" t="n">
        <v>24.98</v>
      </c>
      <c r="C14" s="46" t="n">
        <v>25.8</v>
      </c>
      <c r="D14" s="46" t="n">
        <v>26.61</v>
      </c>
      <c r="E14" s="46" t="n">
        <v>27.16</v>
      </c>
      <c r="F14" s="46" t="n">
        <v>28.51</v>
      </c>
      <c r="G14" s="47" t="n">
        <v>1500</v>
      </c>
    </row>
    <row r="15" ht="20" customHeight="1">
      <c r="A15" s="45" t="inlineStr">
        <is>
          <t>17 cm</t>
        </is>
      </c>
      <c r="B15" s="46" t="n">
        <v>26.14</v>
      </c>
      <c r="C15" s="46" t="n">
        <v>26.99</v>
      </c>
      <c r="D15" s="46" t="n">
        <v>27.85</v>
      </c>
      <c r="E15" s="46" t="n">
        <v>28.42</v>
      </c>
      <c r="F15" s="46" t="n">
        <v>29.84</v>
      </c>
      <c r="G15" s="47" t="n">
        <v>1500</v>
      </c>
    </row>
    <row r="16" ht="20" customHeight="1">
      <c r="A16" s="45" t="inlineStr">
        <is>
          <t>18 cm</t>
        </is>
      </c>
      <c r="B16" s="46" t="n">
        <v>27.3</v>
      </c>
      <c r="C16" s="46" t="n">
        <v>28.19</v>
      </c>
      <c r="D16" s="46" t="n">
        <v>29.08</v>
      </c>
      <c r="E16" s="46" t="n">
        <v>29.68</v>
      </c>
      <c r="F16" s="46" t="n">
        <v>31.16</v>
      </c>
      <c r="G16" s="47" t="n">
        <v>1500</v>
      </c>
    </row>
    <row r="17" ht="20" customHeight="1">
      <c r="A17" s="45" t="inlineStr">
        <is>
          <t>19 cm</t>
        </is>
      </c>
      <c r="B17" s="46" t="n">
        <v>28.46</v>
      </c>
      <c r="C17" s="46" t="n">
        <v>29.39</v>
      </c>
      <c r="D17" s="46" t="n">
        <v>30.32</v>
      </c>
      <c r="E17" s="46" t="n">
        <v>30.94</v>
      </c>
      <c r="F17" s="46" t="n">
        <v>32.48</v>
      </c>
      <c r="G17" s="47" t="n">
        <v>1600</v>
      </c>
    </row>
    <row r="18" ht="20" customHeight="1">
      <c r="A18" s="45" t="inlineStr">
        <is>
          <t>20 cm</t>
        </is>
      </c>
      <c r="B18" s="46" t="n">
        <v>29.62</v>
      </c>
      <c r="C18" s="46" t="n">
        <v>30.59</v>
      </c>
      <c r="D18" s="46" t="n">
        <v>31.55</v>
      </c>
      <c r="E18" s="46" t="n">
        <v>32.2</v>
      </c>
      <c r="F18" s="46" t="n">
        <v>33.81</v>
      </c>
      <c r="G18" s="47" t="n">
        <v>1600</v>
      </c>
    </row>
    <row r="19" ht="20" customHeight="1">
      <c r="A19" s="45" t="inlineStr">
        <is>
          <t>21 cm</t>
        </is>
      </c>
      <c r="B19" s="46" t="n">
        <v>30.78</v>
      </c>
      <c r="C19" s="46" t="n">
        <v>31.78</v>
      </c>
      <c r="D19" s="46" t="n">
        <v>32.79</v>
      </c>
      <c r="E19" s="46" t="n">
        <v>33.46</v>
      </c>
      <c r="F19" s="46" t="n">
        <v>35.13</v>
      </c>
      <c r="G19" s="47" t="n">
        <v>1600</v>
      </c>
    </row>
    <row r="20" ht="20" customHeight="1">
      <c r="A20" s="45" t="inlineStr">
        <is>
          <t>23 cm</t>
        </is>
      </c>
      <c r="B20" s="46" t="n">
        <v>33.1</v>
      </c>
      <c r="C20" s="46" t="n">
        <v>34.18</v>
      </c>
      <c r="D20" s="46" t="n">
        <v>35.26</v>
      </c>
      <c r="E20" s="46" t="n">
        <v>35.98</v>
      </c>
      <c r="F20" s="46" t="n">
        <v>37.77</v>
      </c>
      <c r="G20" s="47" t="n">
        <v>1800</v>
      </c>
    </row>
    <row r="21" ht="20" customHeight="1">
      <c r="A21" s="45" t="inlineStr">
        <is>
          <t>25 cm</t>
        </is>
      </c>
      <c r="B21" s="46" t="n">
        <v>35.42</v>
      </c>
      <c r="C21" s="46" t="n">
        <v>36.57</v>
      </c>
      <c r="D21" s="46" t="n">
        <v>37.73</v>
      </c>
      <c r="E21" s="46" t="n">
        <v>38.5</v>
      </c>
      <c r="F21" s="46" t="n">
        <v>40.42</v>
      </c>
      <c r="G21" s="47" t="n">
        <v>1800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2026-06-12T10:05:47Z</dcterms:created>
  <dcterms:modified xmlns:dcterms="http://purl.org/dc/terms/" xmlns:xsi="http://www.w3.org/2001/XMLSchema-instance" xsi:type="dcterms:W3CDTF">2026-06-12T10:05:47Z</dcterms:modified>
</cp:coreProperties>
</file>